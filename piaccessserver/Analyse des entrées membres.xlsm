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20" windowWidth="19425" windowHeight="7500" activeTab="1"/>
  </bookViews>
  <sheets>
    <sheet name="Instructions" sheetId="3" r:id="rId1"/>
    <sheet name="Fichier CSV" sheetId="1" r:id="rId2"/>
    <sheet name="Types d'abonnement" sheetId="4" r:id="rId3"/>
    <sheet name="Heure d'arrivée" sheetId="2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</workbook>
</file>

<file path=xl/calcChain.xml><?xml version="1.0" encoding="utf-8"?>
<calcChain xmlns="http://schemas.openxmlformats.org/spreadsheetml/2006/main">
  <c r="E28" i="1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"/>
  <c r="F3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"/>
</calcChain>
</file>

<file path=xl/sharedStrings.xml><?xml version="1.0" encoding="utf-8"?>
<sst xmlns="http://schemas.openxmlformats.org/spreadsheetml/2006/main" count="129" uniqueCount="126">
  <si>
    <t>David Beaudette</t>
  </si>
  <si>
    <t>E574CF28</t>
  </si>
  <si>
    <t>Philipe Archambault</t>
  </si>
  <si>
    <t>8EE8F955</t>
  </si>
  <si>
    <t>Francis Poisson-Gagnon</t>
  </si>
  <si>
    <t>9149F955</t>
  </si>
  <si>
    <t>M. Julien Lamarche</t>
  </si>
  <si>
    <t>B515122B</t>
  </si>
  <si>
    <t>F39A8545</t>
  </si>
  <si>
    <t>44C9AA85</t>
  </si>
  <si>
    <t>Louis Beaudoin</t>
  </si>
  <si>
    <t>F0B08645</t>
  </si>
  <si>
    <t>Étienne Plante-Rodrigue</t>
  </si>
  <si>
    <t>D3CCF755</t>
  </si>
  <si>
    <t>Alexandre Begin</t>
  </si>
  <si>
    <t>A7FEF155</t>
  </si>
  <si>
    <t>Adrien Boucher</t>
  </si>
  <si>
    <t>5174F755</t>
  </si>
  <si>
    <t>Simon  Vincent</t>
  </si>
  <si>
    <t>D03A113B</t>
  </si>
  <si>
    <t>Félix-Antoine Langlois</t>
  </si>
  <si>
    <t>F4E9EF55</t>
  </si>
  <si>
    <t>Guillaume Morasse</t>
  </si>
  <si>
    <t>C042F055</t>
  </si>
  <si>
    <t>alain roy</t>
  </si>
  <si>
    <t>C716F055</t>
  </si>
  <si>
    <t>Catherine Roy</t>
  </si>
  <si>
    <t>D4F9F055</t>
  </si>
  <si>
    <t>Antoine Landry</t>
  </si>
  <si>
    <t>452FC828</t>
  </si>
  <si>
    <t>Sébastien Perron</t>
  </si>
  <si>
    <t>AE6D8545</t>
  </si>
  <si>
    <t>eric clin</t>
  </si>
  <si>
    <t>6E06C4A5</t>
  </si>
  <si>
    <t>M. Sébastien Lagacé</t>
  </si>
  <si>
    <t>1E76FA35</t>
  </si>
  <si>
    <t>Véronique Bérard</t>
  </si>
  <si>
    <t>B5C89028</t>
  </si>
  <si>
    <t>jean-samuel leech</t>
  </si>
  <si>
    <t>394BFB35</t>
  </si>
  <si>
    <t>DAVID LI FOK WAI</t>
  </si>
  <si>
    <t>B126F055</t>
  </si>
  <si>
    <t>Dominic Dubé</t>
  </si>
  <si>
    <t>40821ADB</t>
  </si>
  <si>
    <t>Unknown</t>
  </si>
  <si>
    <t>9C416DB</t>
  </si>
  <si>
    <t>Gaetan Morneau</t>
  </si>
  <si>
    <t>97421BDB</t>
  </si>
  <si>
    <t>Antoine Plourde</t>
  </si>
  <si>
    <t>89E2AB85</t>
  </si>
  <si>
    <t>1. Télécharger le rapport "event_list.csv" depuis Google Drive</t>
  </si>
  <si>
    <t>2. Ouvrir le fichier "Analyse des entrées membres.xlsm"</t>
  </si>
  <si>
    <t>3. Indiquer où se trouve le fichier event_list.csv:</t>
  </si>
  <si>
    <t xml:space="preserve">   a. Dans l'onglet Données </t>
  </si>
  <si>
    <t xml:space="preserve">   b. Appuyer sur Connexions </t>
  </si>
  <si>
    <t xml:space="preserve">   c. Sélectionner event_list</t>
  </si>
  <si>
    <t xml:space="preserve">   d. Cliquer sur Actualiser</t>
  </si>
  <si>
    <t xml:space="preserve">   e. Parcourir jusqu'à event_list.csv, Ouvrir</t>
  </si>
  <si>
    <t xml:space="preserve">   f. Fermer la fenêtre Connexions du classeur</t>
  </si>
  <si>
    <t>4. Au besoin, dans Fichier CSV, étirer les champs calculés (colonnes F et G) sur toutes les données</t>
  </si>
  <si>
    <t>5. Au besoin, dans Heure d'arrivée, modifier les données sources pour inclure de nouvelles données</t>
  </si>
  <si>
    <t>Instructions pour mettre à jour:</t>
  </si>
  <si>
    <t>Accès 1 mois</t>
  </si>
  <si>
    <t>Accès 4 mois</t>
  </si>
  <si>
    <t>Accès 1 an</t>
  </si>
  <si>
    <t>Membre engagé</t>
  </si>
  <si>
    <t>Conseil d'administration</t>
  </si>
  <si>
    <t>Équipe de coordination</t>
  </si>
  <si>
    <t>Membre engagé attitré à l'accueil</t>
  </si>
  <si>
    <t>Membre engagé attitré aux plages supervisées</t>
  </si>
  <si>
    <t>Responsable de club</t>
  </si>
  <si>
    <t>Coresponsable de club</t>
  </si>
  <si>
    <t>Membre engagé attitré à un service professionnel</t>
  </si>
  <si>
    <t>#</t>
  </si>
  <si>
    <t>Type d'abonnement</t>
  </si>
  <si>
    <t>Inconnu (probablement échu au moment de la compilation)</t>
  </si>
  <si>
    <t>Gabriel Rebêlo</t>
  </si>
  <si>
    <t>82C9F955</t>
  </si>
  <si>
    <t>Arnaud Samson</t>
  </si>
  <si>
    <t>5AFF6A85</t>
  </si>
  <si>
    <t>Ghislain Demers</t>
  </si>
  <si>
    <t>A092F855</t>
  </si>
  <si>
    <t>Mélodie Nguyen</t>
  </si>
  <si>
    <t>CCE7EF55</t>
  </si>
  <si>
    <t>alexandra archambault</t>
  </si>
  <si>
    <t>76F9FA35</t>
  </si>
  <si>
    <t>Félix  Ouellet-Cloutier</t>
  </si>
  <si>
    <t>A1555CC5</t>
  </si>
  <si>
    <t>Gladis Hann Oneill</t>
  </si>
  <si>
    <t>ED3A16DB</t>
  </si>
  <si>
    <t>pierre noel</t>
  </si>
  <si>
    <t>3CE3EF55</t>
  </si>
  <si>
    <t>William Levasseur</t>
  </si>
  <si>
    <t>4350F855</t>
  </si>
  <si>
    <t>Claire Lecointre</t>
  </si>
  <si>
    <t>A1B4F355</t>
  </si>
  <si>
    <t>Gabriel Richard</t>
  </si>
  <si>
    <t>46C8F855</t>
  </si>
  <si>
    <t>Myriam Lefebvre</t>
  </si>
  <si>
    <t>BE67C4A5</t>
  </si>
  <si>
    <t>Vianney Gall</t>
  </si>
  <si>
    <t>F51F202B</t>
  </si>
  <si>
    <t>Julie Blanchard</t>
  </si>
  <si>
    <t>61F88545</t>
  </si>
  <si>
    <t>Jean-Damien Cové</t>
  </si>
  <si>
    <t>7E391ADB</t>
  </si>
  <si>
    <t>Norbert Gagné</t>
  </si>
  <si>
    <t>99391ADB</t>
  </si>
  <si>
    <t>2542AB85</t>
  </si>
  <si>
    <t>louis formigal</t>
  </si>
  <si>
    <t>1B71F755</t>
  </si>
  <si>
    <t>Daniel Gagnon</t>
  </si>
  <si>
    <t>Martin Proteau</t>
  </si>
  <si>
    <t>FCD6F055</t>
  </si>
  <si>
    <t>Ginette Couture</t>
  </si>
  <si>
    <t>6711F855</t>
  </si>
  <si>
    <t>Claude Gosselin</t>
  </si>
  <si>
    <t>1DC6EDD5</t>
  </si>
  <si>
    <t>Matthew St-Pierre Wheeler</t>
  </si>
  <si>
    <t>30D55AC5</t>
  </si>
  <si>
    <t>Date</t>
  </si>
  <si>
    <t>Membre</t>
  </si>
  <si>
    <t>No carte</t>
  </si>
  <si>
    <t>Type abonnement</t>
  </si>
  <si>
    <t>Jour</t>
  </si>
  <si>
    <t>Heure décimale</t>
  </si>
</sst>
</file>

<file path=xl/styles.xml><?xml version="1.0" encoding="utf-8"?>
<styleSheet xmlns="http://schemas.openxmlformats.org/spreadsheetml/2006/main">
  <numFmts count="2">
    <numFmt numFmtId="164" formatCode="dddd"/>
    <numFmt numFmtId="165" formatCode="0.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  <xf numFmtId="11" fontId="0" fillId="0" borderId="0" xfId="0" applyNumberFormat="1"/>
  </cellXfs>
  <cellStyles count="1">
    <cellStyle name="Normal" xfId="0" builtinId="0"/>
  </cellStyles>
  <dxfs count="6">
    <dxf>
      <numFmt numFmtId="165" formatCode="0.000"/>
    </dxf>
    <dxf>
      <numFmt numFmtId="164" formatCode="dddd"/>
    </dxf>
    <dxf>
      <numFmt numFmtId="30" formatCode="@"/>
    </dxf>
    <dxf>
      <numFmt numFmtId="27" formatCode="dd/mm/yyyy\ hh:mm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"/>
      <tableStyleElement type="headerRow" dxfId="4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CA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'Fichier CSV'!$E$2:$E$7</c:f>
              <c:numCache>
                <c:formatCode>dddd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xVal>
          <c:yVal>
            <c:numRef>
              <c:f>'Fichier CSV'!$F$2:$F$7</c:f>
              <c:numCache>
                <c:formatCode>0.000</c:formatCode>
                <c:ptCount val="6"/>
                <c:pt idx="0">
                  <c:v>22.050555555555555</c:v>
                </c:pt>
                <c:pt idx="1">
                  <c:v>22.054166666666667</c:v>
                </c:pt>
                <c:pt idx="2">
                  <c:v>22.055555555555557</c:v>
                </c:pt>
                <c:pt idx="3">
                  <c:v>22.056666666666668</c:v>
                </c:pt>
                <c:pt idx="4">
                  <c:v>20.644166666666667</c:v>
                </c:pt>
                <c:pt idx="5">
                  <c:v>20.654722222222222</c:v>
                </c:pt>
              </c:numCache>
            </c:numRef>
          </c:yVal>
        </c:ser>
        <c:axId val="140665984"/>
        <c:axId val="140667520"/>
      </c:scatterChart>
      <c:valAx>
        <c:axId val="140665984"/>
        <c:scaling>
          <c:orientation val="minMax"/>
          <c:max val="7"/>
          <c:min val="1"/>
        </c:scaling>
        <c:axPos val="b"/>
        <c:numFmt formatCode="dddd" sourceLinked="1"/>
        <c:tickLblPos val="nextTo"/>
        <c:crossAx val="140667520"/>
        <c:crosses val="autoZero"/>
        <c:crossBetween val="midCat"/>
      </c:valAx>
      <c:valAx>
        <c:axId val="140667520"/>
        <c:scaling>
          <c:orientation val="minMax"/>
          <c:max val="24"/>
          <c:min val="6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Heure d'arrivée</a:t>
                </a:r>
              </a:p>
            </c:rich>
          </c:tx>
          <c:layout/>
        </c:title>
        <c:numFmt formatCode="General" sourceLinked="0"/>
        <c:tickLblPos val="nextTo"/>
        <c:crossAx val="140665984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</xdr:row>
      <xdr:rowOff>0</xdr:rowOff>
    </xdr:from>
    <xdr:to>
      <xdr:col>10</xdr:col>
      <xdr:colOff>104775</xdr:colOff>
      <xdr:row>21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au2" displayName="Tableau2" ref="A1:F50" totalsRowShown="0">
  <autoFilter ref="A1:F50"/>
  <tableColumns count="6">
    <tableColumn id="1" name="Date" dataDxfId="3"/>
    <tableColumn id="2" name="Membre" dataDxfId="2"/>
    <tableColumn id="3" name="No carte"/>
    <tableColumn id="4" name="Type abonnement"/>
    <tableColumn id="6" name="Jour" dataDxfId="1">
      <calculatedColumnFormula>WEEKDAY(A2)</calculatedColumnFormula>
    </tableColumn>
    <tableColumn id="7" name="Heure décimale" dataDxfId="0">
      <calculatedColumnFormula>HOUR(A2) + MINUTE(A2) / 60 + SECOND(A2) / 3600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12"/>
  <sheetViews>
    <sheetView workbookViewId="0">
      <selection activeCell="A24" sqref="A24"/>
    </sheetView>
  </sheetViews>
  <sheetFormatPr baseColWidth="10" defaultRowHeight="15"/>
  <cols>
    <col min="1" max="1" width="102.28515625" customWidth="1"/>
  </cols>
  <sheetData>
    <row r="1" spans="1:1" ht="30.75" customHeight="1">
      <c r="A1" s="5" t="s">
        <v>61</v>
      </c>
    </row>
    <row r="2" spans="1:1">
      <c r="A2" t="s">
        <v>50</v>
      </c>
    </row>
    <row r="3" spans="1:1">
      <c r="A3" t="s">
        <v>51</v>
      </c>
    </row>
    <row r="4" spans="1:1">
      <c r="A4" t="s">
        <v>52</v>
      </c>
    </row>
    <row r="5" spans="1:1">
      <c r="A5" t="s">
        <v>53</v>
      </c>
    </row>
    <row r="6" spans="1:1">
      <c r="A6" t="s">
        <v>54</v>
      </c>
    </row>
    <row r="7" spans="1:1">
      <c r="A7" t="s">
        <v>55</v>
      </c>
    </row>
    <row r="8" spans="1:1">
      <c r="A8" t="s">
        <v>56</v>
      </c>
    </row>
    <row r="9" spans="1:1">
      <c r="A9" t="s">
        <v>57</v>
      </c>
    </row>
    <row r="10" spans="1:1">
      <c r="A10" t="s">
        <v>58</v>
      </c>
    </row>
    <row r="11" spans="1:1">
      <c r="A11" t="s">
        <v>59</v>
      </c>
    </row>
    <row r="12" spans="1:1">
      <c r="A12" t="s">
        <v>60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F236"/>
  <sheetViews>
    <sheetView tabSelected="1" topLeftCell="A46" workbookViewId="0">
      <selection activeCell="H2" sqref="H2:H25"/>
    </sheetView>
  </sheetViews>
  <sheetFormatPr baseColWidth="10" defaultRowHeight="15"/>
  <cols>
    <col min="1" max="1" width="15.7109375" bestFit="1" customWidth="1"/>
    <col min="2" max="2" width="25.7109375" bestFit="1" customWidth="1"/>
    <col min="3" max="6" width="11.5703125" customWidth="1"/>
    <col min="7" max="7" width="15.7109375" bestFit="1" customWidth="1"/>
  </cols>
  <sheetData>
    <row r="1" spans="1:6">
      <c r="A1" s="1" t="s">
        <v>120</v>
      </c>
      <c r="B1" s="2" t="s">
        <v>121</v>
      </c>
      <c r="C1" t="s">
        <v>122</v>
      </c>
      <c r="D1" t="s">
        <v>123</v>
      </c>
      <c r="E1" s="3" t="s">
        <v>124</v>
      </c>
      <c r="F1" s="4" t="s">
        <v>125</v>
      </c>
    </row>
    <row r="2" spans="1:6">
      <c r="A2" s="1">
        <v>42381.918773148151</v>
      </c>
      <c r="B2" s="2" t="s">
        <v>0</v>
      </c>
      <c r="C2" t="s">
        <v>1</v>
      </c>
      <c r="D2">
        <v>0</v>
      </c>
      <c r="E2" s="3">
        <f>WEEKDAY(A2)</f>
        <v>3</v>
      </c>
      <c r="F2" s="4">
        <f t="shared" ref="F2:F26" si="0">HOUR(A2) + MINUTE(A2) / 60 + SECOND(A2) / 3600</f>
        <v>22.050555555555555</v>
      </c>
    </row>
    <row r="3" spans="1:6">
      <c r="A3" s="1">
        <v>42381.918923611112</v>
      </c>
      <c r="B3" s="2" t="s">
        <v>4</v>
      </c>
      <c r="C3" t="s">
        <v>5</v>
      </c>
      <c r="D3">
        <v>0</v>
      </c>
      <c r="E3" s="3">
        <f t="shared" ref="E3:E26" si="1">WEEKDAY(A3)</f>
        <v>3</v>
      </c>
      <c r="F3" s="4">
        <f t="shared" si="0"/>
        <v>22.054166666666667</v>
      </c>
    </row>
    <row r="4" spans="1:6">
      <c r="A4" s="1">
        <v>42381.918981481482</v>
      </c>
      <c r="B4" s="2" t="s">
        <v>76</v>
      </c>
      <c r="C4" t="s">
        <v>77</v>
      </c>
      <c r="D4">
        <v>0</v>
      </c>
      <c r="E4" s="3">
        <f t="shared" si="1"/>
        <v>3</v>
      </c>
      <c r="F4" s="4">
        <f t="shared" si="0"/>
        <v>22.055555555555557</v>
      </c>
    </row>
    <row r="5" spans="1:6">
      <c r="A5" s="1">
        <v>42381.919027777774</v>
      </c>
      <c r="B5" s="2" t="s">
        <v>2</v>
      </c>
      <c r="C5" t="s">
        <v>3</v>
      </c>
      <c r="D5">
        <v>0</v>
      </c>
      <c r="E5" s="3">
        <f t="shared" si="1"/>
        <v>3</v>
      </c>
      <c r="F5" s="4">
        <f t="shared" si="0"/>
        <v>22.056666666666668</v>
      </c>
    </row>
    <row r="6" spans="1:6">
      <c r="A6" s="1">
        <v>42402.860173611109</v>
      </c>
      <c r="B6" s="2" t="s">
        <v>20</v>
      </c>
      <c r="C6" t="s">
        <v>21</v>
      </c>
      <c r="D6">
        <v>0</v>
      </c>
      <c r="E6" s="3">
        <f t="shared" si="1"/>
        <v>3</v>
      </c>
      <c r="F6" s="4">
        <f t="shared" si="0"/>
        <v>20.644166666666667</v>
      </c>
    </row>
    <row r="7" spans="1:6">
      <c r="A7" s="1">
        <v>42402.860613425924</v>
      </c>
      <c r="B7" s="2" t="s">
        <v>78</v>
      </c>
      <c r="C7" t="s">
        <v>79</v>
      </c>
      <c r="D7">
        <v>0</v>
      </c>
      <c r="E7" s="3">
        <f t="shared" si="1"/>
        <v>3</v>
      </c>
      <c r="F7" s="4">
        <f t="shared" si="0"/>
        <v>20.654722222222222</v>
      </c>
    </row>
    <row r="8" spans="1:6">
      <c r="A8" s="1">
        <v>42402.89366898148</v>
      </c>
      <c r="B8" s="2" t="s">
        <v>6</v>
      </c>
      <c r="C8" t="s">
        <v>7</v>
      </c>
      <c r="D8">
        <v>19</v>
      </c>
      <c r="E8" s="3">
        <f t="shared" si="1"/>
        <v>3</v>
      </c>
      <c r="F8" s="4">
        <f t="shared" si="0"/>
        <v>21.448055555555555</v>
      </c>
    </row>
    <row r="9" spans="1:6">
      <c r="A9" s="1">
        <v>42403.397511574076</v>
      </c>
      <c r="B9" s="2" t="s">
        <v>10</v>
      </c>
      <c r="C9" t="s">
        <v>11</v>
      </c>
      <c r="D9">
        <v>21</v>
      </c>
      <c r="E9" s="3">
        <f t="shared" si="1"/>
        <v>4</v>
      </c>
      <c r="F9" s="4">
        <f t="shared" si="0"/>
        <v>9.5402777777777779</v>
      </c>
    </row>
    <row r="10" spans="1:6">
      <c r="A10" s="1">
        <v>42403.397997685184</v>
      </c>
      <c r="B10" s="2" t="s">
        <v>4</v>
      </c>
      <c r="C10" t="s">
        <v>8</v>
      </c>
      <c r="D10">
        <v>18</v>
      </c>
      <c r="E10" s="3">
        <f t="shared" si="1"/>
        <v>4</v>
      </c>
      <c r="F10" s="4">
        <f t="shared" si="0"/>
        <v>9.5519444444444446</v>
      </c>
    </row>
    <row r="11" spans="1:6">
      <c r="A11" s="1">
        <v>42403.421157407407</v>
      </c>
      <c r="B11" s="2" t="s">
        <v>2</v>
      </c>
      <c r="C11" t="s">
        <v>9</v>
      </c>
      <c r="D11">
        <v>22</v>
      </c>
      <c r="E11" s="3">
        <f t="shared" si="1"/>
        <v>4</v>
      </c>
      <c r="F11" s="4">
        <f t="shared" si="0"/>
        <v>10.107777777777777</v>
      </c>
    </row>
    <row r="12" spans="1:6">
      <c r="A12" s="1">
        <v>42403.507777777777</v>
      </c>
      <c r="B12" s="2" t="s">
        <v>12</v>
      </c>
      <c r="C12" t="s">
        <v>13</v>
      </c>
      <c r="D12">
        <v>19</v>
      </c>
      <c r="E12" s="3">
        <f t="shared" si="1"/>
        <v>4</v>
      </c>
      <c r="F12" s="4">
        <f t="shared" si="0"/>
        <v>12.186666666666667</v>
      </c>
    </row>
    <row r="13" spans="1:6">
      <c r="A13" s="1">
        <v>42403.531747685185</v>
      </c>
      <c r="B13" s="2" t="s">
        <v>80</v>
      </c>
      <c r="C13" t="s">
        <v>81</v>
      </c>
      <c r="D13">
        <v>18</v>
      </c>
      <c r="E13" s="3">
        <f t="shared" si="1"/>
        <v>4</v>
      </c>
      <c r="F13" s="4">
        <f t="shared" si="0"/>
        <v>12.761944444444444</v>
      </c>
    </row>
    <row r="14" spans="1:6">
      <c r="A14" s="1">
        <v>42404.618935185186</v>
      </c>
      <c r="B14" s="2" t="s">
        <v>14</v>
      </c>
      <c r="C14" t="s">
        <v>15</v>
      </c>
      <c r="D14">
        <v>11</v>
      </c>
      <c r="E14" s="3">
        <f t="shared" si="1"/>
        <v>5</v>
      </c>
      <c r="F14" s="4">
        <f t="shared" si="0"/>
        <v>14.854444444444445</v>
      </c>
    </row>
    <row r="15" spans="1:6">
      <c r="A15" s="1">
        <v>42407.576493055552</v>
      </c>
      <c r="B15" s="2" t="s">
        <v>16</v>
      </c>
      <c r="C15" t="s">
        <v>17</v>
      </c>
      <c r="D15">
        <v>22</v>
      </c>
      <c r="E15" s="3">
        <f t="shared" si="1"/>
        <v>1</v>
      </c>
      <c r="F15" s="4">
        <f t="shared" si="0"/>
        <v>13.835833333333333</v>
      </c>
    </row>
    <row r="16" spans="1:6">
      <c r="A16" s="1">
        <v>42409.525069444448</v>
      </c>
      <c r="B16" s="2" t="s">
        <v>18</v>
      </c>
      <c r="C16" t="s">
        <v>19</v>
      </c>
      <c r="D16">
        <v>23</v>
      </c>
      <c r="E16" s="3">
        <f t="shared" si="1"/>
        <v>3</v>
      </c>
      <c r="F16" s="4">
        <f t="shared" si="0"/>
        <v>12.601666666666667</v>
      </c>
    </row>
    <row r="17" spans="1:6">
      <c r="A17" s="1">
        <v>42410.748113425929</v>
      </c>
      <c r="B17" s="2" t="s">
        <v>82</v>
      </c>
      <c r="C17" t="s">
        <v>83</v>
      </c>
      <c r="D17">
        <v>0</v>
      </c>
      <c r="E17" s="3">
        <f t="shared" si="1"/>
        <v>4</v>
      </c>
      <c r="F17" s="4">
        <f t="shared" si="0"/>
        <v>17.954722222222223</v>
      </c>
    </row>
    <row r="18" spans="1:6">
      <c r="A18" s="1">
        <v>42412.460381944446</v>
      </c>
      <c r="B18" s="2" t="s">
        <v>22</v>
      </c>
      <c r="C18" t="s">
        <v>23</v>
      </c>
      <c r="D18">
        <v>0</v>
      </c>
      <c r="E18" s="3">
        <f t="shared" si="1"/>
        <v>6</v>
      </c>
      <c r="F18" s="4">
        <f t="shared" si="0"/>
        <v>11.049166666666666</v>
      </c>
    </row>
    <row r="19" spans="1:6">
      <c r="A19" s="1">
        <v>42413.547326388885</v>
      </c>
      <c r="B19" s="2" t="s">
        <v>24</v>
      </c>
      <c r="C19" t="s">
        <v>25</v>
      </c>
      <c r="D19">
        <v>23</v>
      </c>
      <c r="E19" s="3">
        <f t="shared" si="1"/>
        <v>7</v>
      </c>
      <c r="F19" s="4">
        <f t="shared" si="0"/>
        <v>13.135833333333332</v>
      </c>
    </row>
    <row r="20" spans="1:6">
      <c r="A20" s="1">
        <v>42416.414201388892</v>
      </c>
      <c r="B20" s="2" t="s">
        <v>26</v>
      </c>
      <c r="C20" t="s">
        <v>27</v>
      </c>
      <c r="D20">
        <v>0</v>
      </c>
      <c r="E20" s="3">
        <f t="shared" si="1"/>
        <v>3</v>
      </c>
      <c r="F20" s="4">
        <f t="shared" si="0"/>
        <v>9.9408333333333339</v>
      </c>
    </row>
    <row r="21" spans="1:6">
      <c r="A21" s="1">
        <v>42416.688148148147</v>
      </c>
      <c r="B21" s="2" t="s">
        <v>84</v>
      </c>
      <c r="C21" t="s">
        <v>85</v>
      </c>
      <c r="D21">
        <v>0</v>
      </c>
      <c r="E21" s="3">
        <f t="shared" si="1"/>
        <v>3</v>
      </c>
      <c r="F21" s="4">
        <f t="shared" si="0"/>
        <v>16.515555555555554</v>
      </c>
    </row>
    <row r="22" spans="1:6">
      <c r="A22" s="1">
        <v>42416.741400462961</v>
      </c>
      <c r="B22" s="2" t="s">
        <v>28</v>
      </c>
      <c r="C22" t="s">
        <v>29</v>
      </c>
      <c r="D22">
        <v>13</v>
      </c>
      <c r="E22" s="3">
        <f t="shared" si="1"/>
        <v>3</v>
      </c>
      <c r="F22" s="4">
        <f t="shared" si="0"/>
        <v>17.793611111111112</v>
      </c>
    </row>
    <row r="23" spans="1:6">
      <c r="A23" s="1">
        <v>42417.751111111109</v>
      </c>
      <c r="B23" s="2" t="s">
        <v>30</v>
      </c>
      <c r="C23" t="s">
        <v>31</v>
      </c>
      <c r="D23">
        <v>23</v>
      </c>
      <c r="E23" s="3">
        <f t="shared" si="1"/>
        <v>4</v>
      </c>
      <c r="F23" s="4">
        <f t="shared" si="0"/>
        <v>18.026666666666667</v>
      </c>
    </row>
    <row r="24" spans="1:6">
      <c r="A24" s="1">
        <v>42418.697824074072</v>
      </c>
      <c r="B24" s="2" t="s">
        <v>40</v>
      </c>
      <c r="C24" t="s">
        <v>41</v>
      </c>
      <c r="D24">
        <v>0</v>
      </c>
      <c r="E24" s="3">
        <f t="shared" si="1"/>
        <v>5</v>
      </c>
      <c r="F24" s="4">
        <f t="shared" si="0"/>
        <v>16.747777777777777</v>
      </c>
    </row>
    <row r="25" spans="1:6">
      <c r="A25" s="1">
        <v>42421.563009259262</v>
      </c>
      <c r="B25" s="2" t="s">
        <v>46</v>
      </c>
      <c r="C25" t="s">
        <v>47</v>
      </c>
      <c r="D25">
        <v>13</v>
      </c>
      <c r="E25" s="3">
        <f t="shared" si="1"/>
        <v>1</v>
      </c>
      <c r="F25" s="4">
        <f t="shared" si="0"/>
        <v>13.512222222222222</v>
      </c>
    </row>
    <row r="26" spans="1:6">
      <c r="A26" s="1">
        <v>42423.697615740741</v>
      </c>
      <c r="B26" s="2" t="s">
        <v>44</v>
      </c>
      <c r="C26" t="s">
        <v>45</v>
      </c>
      <c r="D26">
        <v>0</v>
      </c>
      <c r="E26" s="3">
        <f t="shared" si="1"/>
        <v>3</v>
      </c>
      <c r="F26" s="4">
        <f t="shared" si="0"/>
        <v>16.742777777777778</v>
      </c>
    </row>
    <row r="27" spans="1:6">
      <c r="A27" s="1">
        <v>42423.792141203703</v>
      </c>
      <c r="B27" s="2" t="s">
        <v>86</v>
      </c>
      <c r="C27" t="s">
        <v>87</v>
      </c>
      <c r="D27">
        <v>16</v>
      </c>
      <c r="E27" s="3">
        <f>WEEKDAY(A50)</f>
        <v>4</v>
      </c>
      <c r="F27" s="4">
        <f>HOUR(A50) + MINUTE(A50) / 60 + SECOND(A50) / 3600</f>
        <v>16.12361111111111</v>
      </c>
    </row>
    <row r="28" spans="1:6">
      <c r="A28" s="1">
        <v>42425.410127314812</v>
      </c>
      <c r="B28" s="2" t="s">
        <v>88</v>
      </c>
      <c r="C28" t="s">
        <v>89</v>
      </c>
      <c r="D28">
        <v>0</v>
      </c>
      <c r="E28" s="3">
        <f t="shared" ref="E28:E50" si="2">WEEKDAY(A28)</f>
        <v>5</v>
      </c>
      <c r="F28" s="4">
        <f t="shared" ref="F28:F50" si="3">HOUR(A28) + MINUTE(A28) / 60 + SECOND(A28) / 3600</f>
        <v>9.8430555555555568</v>
      </c>
    </row>
    <row r="29" spans="1:6">
      <c r="A29" s="1">
        <v>42425.724120370367</v>
      </c>
      <c r="B29" s="2" t="s">
        <v>90</v>
      </c>
      <c r="C29" t="s">
        <v>91</v>
      </c>
      <c r="D29">
        <v>19</v>
      </c>
      <c r="E29" s="3">
        <f t="shared" si="2"/>
        <v>5</v>
      </c>
      <c r="F29" s="4">
        <f t="shared" si="3"/>
        <v>17.378888888888888</v>
      </c>
    </row>
    <row r="30" spans="1:6">
      <c r="A30" s="1">
        <v>42427.646736111114</v>
      </c>
      <c r="B30" s="2" t="s">
        <v>92</v>
      </c>
      <c r="C30" t="s">
        <v>93</v>
      </c>
      <c r="D30">
        <v>22</v>
      </c>
      <c r="E30" s="3">
        <f t="shared" si="2"/>
        <v>7</v>
      </c>
      <c r="F30" s="4">
        <f t="shared" si="3"/>
        <v>15.521666666666668</v>
      </c>
    </row>
    <row r="31" spans="1:6">
      <c r="A31" s="1">
        <v>42428.532523148147</v>
      </c>
      <c r="B31" s="2" t="s">
        <v>38</v>
      </c>
      <c r="C31" t="s">
        <v>39</v>
      </c>
      <c r="D31">
        <v>0</v>
      </c>
      <c r="E31" s="3">
        <f t="shared" si="2"/>
        <v>1</v>
      </c>
      <c r="F31" s="4">
        <f t="shared" si="3"/>
        <v>12.780555555555557</v>
      </c>
    </row>
    <row r="32" spans="1:6">
      <c r="A32" s="1">
        <v>42430.385879629626</v>
      </c>
      <c r="B32" s="2" t="s">
        <v>94</v>
      </c>
      <c r="C32" t="s">
        <v>95</v>
      </c>
      <c r="D32">
        <v>0</v>
      </c>
      <c r="E32" s="3">
        <f t="shared" si="2"/>
        <v>3</v>
      </c>
      <c r="F32" s="4">
        <f t="shared" si="3"/>
        <v>9.2611111111111111</v>
      </c>
    </row>
    <row r="33" spans="1:6">
      <c r="A33" s="1">
        <v>42430.398136574076</v>
      </c>
      <c r="B33" s="2" t="s">
        <v>96</v>
      </c>
      <c r="C33" t="s">
        <v>97</v>
      </c>
      <c r="D33">
        <v>0</v>
      </c>
      <c r="E33" s="3">
        <f t="shared" si="2"/>
        <v>3</v>
      </c>
      <c r="F33" s="4">
        <f t="shared" si="3"/>
        <v>9.5552777777777784</v>
      </c>
    </row>
    <row r="34" spans="1:6">
      <c r="A34" s="1">
        <v>42430.540821759256</v>
      </c>
      <c r="B34" s="2" t="s">
        <v>98</v>
      </c>
      <c r="C34" t="s">
        <v>99</v>
      </c>
      <c r="D34">
        <v>0</v>
      </c>
      <c r="E34" s="3">
        <f t="shared" si="2"/>
        <v>3</v>
      </c>
      <c r="F34" s="4">
        <f t="shared" si="3"/>
        <v>12.979722222222222</v>
      </c>
    </row>
    <row r="35" spans="1:6">
      <c r="A35" s="1">
        <v>42430.808125000003</v>
      </c>
      <c r="B35" s="2" t="s">
        <v>32</v>
      </c>
      <c r="C35" t="s">
        <v>33</v>
      </c>
      <c r="D35">
        <v>13</v>
      </c>
      <c r="E35" s="3">
        <f t="shared" si="2"/>
        <v>3</v>
      </c>
      <c r="F35" s="4">
        <f t="shared" si="3"/>
        <v>19.395</v>
      </c>
    </row>
    <row r="36" spans="1:6">
      <c r="A36" s="1">
        <v>42430.843425925923</v>
      </c>
      <c r="B36" s="2" t="s">
        <v>34</v>
      </c>
      <c r="C36" t="s">
        <v>35</v>
      </c>
      <c r="D36">
        <v>18</v>
      </c>
      <c r="E36" s="3">
        <f>WEEKDAY(A58)</f>
        <v>7</v>
      </c>
      <c r="F36" s="4">
        <f>HOUR(A58) + MINUTE(A58) / 60 + SECOND(A58) / 3600</f>
        <v>0</v>
      </c>
    </row>
    <row r="37" spans="1:6">
      <c r="A37" s="1">
        <v>42431.721886574072</v>
      </c>
      <c r="B37" s="2" t="s">
        <v>100</v>
      </c>
      <c r="C37" t="s">
        <v>101</v>
      </c>
      <c r="D37">
        <v>0</v>
      </c>
      <c r="E37" s="3">
        <f t="shared" ref="E37:E50" si="4">WEEKDAY(A37)</f>
        <v>4</v>
      </c>
      <c r="F37" s="4">
        <f t="shared" ref="F37:F50" si="5">HOUR(A37) + MINUTE(A37) / 60 + SECOND(A37) / 3600</f>
        <v>17.325277777777778</v>
      </c>
    </row>
    <row r="38" spans="1:6">
      <c r="A38" s="1">
        <v>42433.709710648145</v>
      </c>
      <c r="B38" s="2" t="s">
        <v>102</v>
      </c>
      <c r="C38" t="s">
        <v>103</v>
      </c>
      <c r="D38">
        <v>23</v>
      </c>
      <c r="E38" s="3">
        <f t="shared" si="4"/>
        <v>6</v>
      </c>
      <c r="F38" s="4">
        <f t="shared" si="5"/>
        <v>17.033055555555556</v>
      </c>
    </row>
    <row r="39" spans="1:6">
      <c r="A39" s="1">
        <v>42434.409456018519</v>
      </c>
      <c r="B39" s="2" t="s">
        <v>104</v>
      </c>
      <c r="C39" s="7" t="s">
        <v>105</v>
      </c>
      <c r="D39">
        <v>0</v>
      </c>
      <c r="E39" s="3">
        <f t="shared" si="4"/>
        <v>7</v>
      </c>
      <c r="F39" s="4">
        <f t="shared" si="5"/>
        <v>9.8269444444444449</v>
      </c>
    </row>
    <row r="40" spans="1:6">
      <c r="A40" s="1">
        <v>42434.625821759262</v>
      </c>
      <c r="B40" s="2" t="s">
        <v>36</v>
      </c>
      <c r="C40" t="s">
        <v>37</v>
      </c>
      <c r="D40">
        <v>21</v>
      </c>
      <c r="E40" s="3">
        <f t="shared" si="4"/>
        <v>7</v>
      </c>
      <c r="F40" s="4">
        <f t="shared" si="5"/>
        <v>15.019722222222223</v>
      </c>
    </row>
    <row r="41" spans="1:6">
      <c r="A41" s="1">
        <v>42435.398622685185</v>
      </c>
      <c r="B41" s="2" t="s">
        <v>42</v>
      </c>
      <c r="C41" t="s">
        <v>43</v>
      </c>
      <c r="D41">
        <v>0</v>
      </c>
      <c r="E41" s="3">
        <f t="shared" si="4"/>
        <v>1</v>
      </c>
      <c r="F41" s="4">
        <f t="shared" si="5"/>
        <v>9.5669444444444434</v>
      </c>
    </row>
    <row r="42" spans="1:6">
      <c r="A42" s="1">
        <v>42439.423715277779</v>
      </c>
      <c r="B42" s="2" t="s">
        <v>106</v>
      </c>
      <c r="C42" t="s">
        <v>107</v>
      </c>
      <c r="D42">
        <v>0</v>
      </c>
      <c r="E42" s="3">
        <f t="shared" si="4"/>
        <v>5</v>
      </c>
      <c r="F42" s="4">
        <f t="shared" si="5"/>
        <v>10.169166666666666</v>
      </c>
    </row>
    <row r="43" spans="1:6">
      <c r="A43" s="1">
        <v>42440.377418981479</v>
      </c>
      <c r="B43" s="2" t="s">
        <v>44</v>
      </c>
      <c r="C43" t="s">
        <v>108</v>
      </c>
      <c r="D43">
        <v>0</v>
      </c>
      <c r="E43" s="3">
        <f t="shared" si="4"/>
        <v>6</v>
      </c>
      <c r="F43" s="4">
        <f t="shared" si="5"/>
        <v>9.0580555555555566</v>
      </c>
    </row>
    <row r="44" spans="1:6">
      <c r="A44" s="1">
        <v>42441.554618055554</v>
      </c>
      <c r="B44" s="2" t="s">
        <v>109</v>
      </c>
      <c r="C44" t="s">
        <v>110</v>
      </c>
      <c r="D44">
        <v>0</v>
      </c>
      <c r="E44" s="3">
        <f t="shared" si="4"/>
        <v>7</v>
      </c>
      <c r="F44" s="4">
        <f t="shared" si="5"/>
        <v>13.310833333333335</v>
      </c>
    </row>
    <row r="45" spans="1:6">
      <c r="A45" s="1">
        <v>42444.380891203706</v>
      </c>
      <c r="B45" s="2" t="s">
        <v>111</v>
      </c>
      <c r="C45">
        <v>84318645</v>
      </c>
      <c r="D45">
        <v>0</v>
      </c>
      <c r="E45" s="3">
        <f>WEEKDAY(A67)</f>
        <v>7</v>
      </c>
      <c r="F45" s="4">
        <f>HOUR(A67) + MINUTE(A67) / 60 + SECOND(A67) / 3600</f>
        <v>0</v>
      </c>
    </row>
    <row r="46" spans="1:6">
      <c r="A46" s="1">
        <v>42446.461064814815</v>
      </c>
      <c r="B46" s="2" t="s">
        <v>112</v>
      </c>
      <c r="C46" t="s">
        <v>113</v>
      </c>
      <c r="D46">
        <v>0</v>
      </c>
      <c r="E46" s="3">
        <f t="shared" ref="E46:E50" si="6">WEEKDAY(A46)</f>
        <v>5</v>
      </c>
      <c r="F46" s="4">
        <f t="shared" ref="F46:F50" si="7">HOUR(A46) + MINUTE(A46) / 60 + SECOND(A46) / 3600</f>
        <v>11.065555555555557</v>
      </c>
    </row>
    <row r="47" spans="1:6">
      <c r="A47" s="1">
        <v>42451.746493055558</v>
      </c>
      <c r="B47" s="2" t="s">
        <v>114</v>
      </c>
      <c r="C47" t="s">
        <v>115</v>
      </c>
      <c r="D47">
        <v>0</v>
      </c>
      <c r="E47" s="3">
        <f t="shared" si="6"/>
        <v>3</v>
      </c>
      <c r="F47" s="4">
        <f t="shared" si="7"/>
        <v>17.915833333333332</v>
      </c>
    </row>
    <row r="48" spans="1:6">
      <c r="A48" s="1">
        <v>42451.749155092592</v>
      </c>
      <c r="B48" s="2" t="s">
        <v>116</v>
      </c>
      <c r="C48" t="s">
        <v>117</v>
      </c>
      <c r="D48">
        <v>0</v>
      </c>
      <c r="E48" s="3">
        <f t="shared" si="6"/>
        <v>3</v>
      </c>
      <c r="F48" s="4">
        <f t="shared" si="7"/>
        <v>17.979722222222222</v>
      </c>
    </row>
    <row r="49" spans="1:6">
      <c r="A49" s="1">
        <v>42459.404699074075</v>
      </c>
      <c r="B49" s="2" t="s">
        <v>118</v>
      </c>
      <c r="C49" t="s">
        <v>119</v>
      </c>
      <c r="D49">
        <v>0</v>
      </c>
      <c r="E49" s="3">
        <f t="shared" si="6"/>
        <v>4</v>
      </c>
      <c r="F49" s="4">
        <f t="shared" si="7"/>
        <v>9.7127777777777773</v>
      </c>
    </row>
    <row r="50" spans="1:6">
      <c r="A50" s="1">
        <v>42459.671817129631</v>
      </c>
      <c r="B50" s="2" t="s">
        <v>48</v>
      </c>
      <c r="C50" t="s">
        <v>49</v>
      </c>
      <c r="D50">
        <v>0</v>
      </c>
      <c r="E50" s="3">
        <f t="shared" si="6"/>
        <v>4</v>
      </c>
      <c r="F50" s="4">
        <f t="shared" si="7"/>
        <v>16.12361111111111</v>
      </c>
    </row>
    <row r="51" spans="1:6">
      <c r="E51" s="3"/>
    </row>
    <row r="52" spans="1:6">
      <c r="E52" s="3"/>
    </row>
    <row r="53" spans="1:6">
      <c r="E53" s="3"/>
    </row>
    <row r="54" spans="1:6">
      <c r="E54" s="3"/>
    </row>
    <row r="55" spans="1:6">
      <c r="E55" s="3"/>
    </row>
    <row r="56" spans="1:6">
      <c r="E56" s="3"/>
    </row>
    <row r="57" spans="1:6">
      <c r="E57" s="3"/>
    </row>
    <row r="58" spans="1:6">
      <c r="E58" s="3"/>
    </row>
    <row r="59" spans="1:6">
      <c r="E59" s="3"/>
    </row>
    <row r="60" spans="1:6">
      <c r="E60" s="3"/>
    </row>
    <row r="61" spans="1:6">
      <c r="E61" s="3"/>
    </row>
    <row r="62" spans="1:6">
      <c r="E62" s="3"/>
    </row>
    <row r="63" spans="1:6">
      <c r="E63" s="3"/>
    </row>
    <row r="64" spans="1:6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  <row r="201" spans="5:5">
      <c r="E201" s="3"/>
    </row>
    <row r="202" spans="5:5">
      <c r="E202" s="3"/>
    </row>
    <row r="203" spans="5:5">
      <c r="E203" s="3"/>
    </row>
    <row r="204" spans="5:5">
      <c r="E204" s="3"/>
    </row>
    <row r="205" spans="5:5">
      <c r="E205" s="3"/>
    </row>
    <row r="206" spans="5:5">
      <c r="E206" s="3"/>
    </row>
    <row r="207" spans="5:5">
      <c r="E207" s="3"/>
    </row>
    <row r="208" spans="5:5">
      <c r="E208" s="3"/>
    </row>
    <row r="209" spans="5:5">
      <c r="E209" s="3"/>
    </row>
    <row r="210" spans="5:5">
      <c r="E210" s="3"/>
    </row>
    <row r="211" spans="5:5">
      <c r="E211" s="3"/>
    </row>
    <row r="212" spans="5:5">
      <c r="E212" s="3"/>
    </row>
    <row r="213" spans="5:5">
      <c r="E213" s="3"/>
    </row>
    <row r="214" spans="5:5">
      <c r="E214" s="3"/>
    </row>
    <row r="215" spans="5:5">
      <c r="E215" s="3"/>
    </row>
    <row r="216" spans="5:5">
      <c r="E216" s="3"/>
    </row>
    <row r="217" spans="5:5">
      <c r="E217" s="3"/>
    </row>
    <row r="218" spans="5:5">
      <c r="E218" s="3"/>
    </row>
    <row r="219" spans="5:5">
      <c r="E219" s="3"/>
    </row>
    <row r="220" spans="5:5">
      <c r="E220" s="3"/>
    </row>
    <row r="221" spans="5:5">
      <c r="E221" s="3"/>
    </row>
    <row r="222" spans="5:5">
      <c r="E222" s="3"/>
    </row>
    <row r="223" spans="5:5">
      <c r="E223" s="3"/>
    </row>
    <row r="224" spans="5:5">
      <c r="E224" s="3"/>
    </row>
    <row r="225" spans="5:5">
      <c r="E225" s="3"/>
    </row>
    <row r="226" spans="5:5">
      <c r="E226" s="3"/>
    </row>
    <row r="227" spans="5:5">
      <c r="E227" s="3"/>
    </row>
    <row r="228" spans="5:5">
      <c r="E228" s="3"/>
    </row>
    <row r="229" spans="5:5">
      <c r="E229" s="3"/>
    </row>
    <row r="230" spans="5:5">
      <c r="E230" s="3"/>
    </row>
    <row r="231" spans="5:5">
      <c r="E231" s="3"/>
    </row>
    <row r="232" spans="5:5">
      <c r="E232" s="3"/>
    </row>
    <row r="233" spans="5:5">
      <c r="E233" s="3"/>
    </row>
    <row r="234" spans="5:5">
      <c r="E234" s="3"/>
    </row>
    <row r="235" spans="5:5">
      <c r="E235" s="3"/>
    </row>
    <row r="236" spans="5:5">
      <c r="E236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B13"/>
  <sheetViews>
    <sheetView workbookViewId="0">
      <selection activeCell="B24" sqref="B24"/>
    </sheetView>
  </sheetViews>
  <sheetFormatPr baseColWidth="10" defaultRowHeight="15"/>
  <cols>
    <col min="1" max="1" width="7.42578125" customWidth="1"/>
    <col min="2" max="2" width="54.140625" customWidth="1"/>
  </cols>
  <sheetData>
    <row r="1" spans="1:2">
      <c r="A1" t="s">
        <v>73</v>
      </c>
      <c r="B1" t="s">
        <v>74</v>
      </c>
    </row>
    <row r="2" spans="1:2">
      <c r="A2">
        <v>0</v>
      </c>
      <c r="B2" t="s">
        <v>75</v>
      </c>
    </row>
    <row r="3" spans="1:2">
      <c r="A3" s="6">
        <v>11</v>
      </c>
      <c r="B3" s="6" t="s">
        <v>62</v>
      </c>
    </row>
    <row r="4" spans="1:2">
      <c r="A4" s="6">
        <v>12</v>
      </c>
      <c r="B4" s="6" t="s">
        <v>63</v>
      </c>
    </row>
    <row r="5" spans="1:2">
      <c r="A5" s="6">
        <v>13</v>
      </c>
      <c r="B5" s="6" t="s">
        <v>64</v>
      </c>
    </row>
    <row r="6" spans="1:2">
      <c r="A6" s="6">
        <v>16</v>
      </c>
      <c r="B6" s="6" t="s">
        <v>65</v>
      </c>
    </row>
    <row r="7" spans="1:2">
      <c r="A7" s="6">
        <v>18</v>
      </c>
      <c r="B7" s="6" t="s">
        <v>66</v>
      </c>
    </row>
    <row r="8" spans="1:2">
      <c r="A8" s="6">
        <v>19</v>
      </c>
      <c r="B8" s="6" t="s">
        <v>67</v>
      </c>
    </row>
    <row r="9" spans="1:2">
      <c r="A9" s="6">
        <v>20</v>
      </c>
      <c r="B9" s="6" t="s">
        <v>68</v>
      </c>
    </row>
    <row r="10" spans="1:2">
      <c r="A10" s="6">
        <v>21</v>
      </c>
      <c r="B10" s="6" t="s">
        <v>69</v>
      </c>
    </row>
    <row r="11" spans="1:2">
      <c r="A11" s="6">
        <v>22</v>
      </c>
      <c r="B11" s="6" t="s">
        <v>70</v>
      </c>
    </row>
    <row r="12" spans="1:2">
      <c r="A12" s="6">
        <v>23</v>
      </c>
      <c r="B12" s="6" t="s">
        <v>71</v>
      </c>
    </row>
    <row r="13" spans="1:2">
      <c r="A13" s="6">
        <v>24</v>
      </c>
      <c r="B13" s="6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L13" sqref="L13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Instructions</vt:lpstr>
      <vt:lpstr>Fichier CSV</vt:lpstr>
      <vt:lpstr>Types d'abonnement</vt:lpstr>
      <vt:lpstr>Heure d'arrivée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Beaudette</dc:creator>
  <cp:lastModifiedBy>David Beaudette</cp:lastModifiedBy>
  <dcterms:created xsi:type="dcterms:W3CDTF">2016-04-20T00:21:22Z</dcterms:created>
  <dcterms:modified xsi:type="dcterms:W3CDTF">2016-05-17T01:00:26Z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7ac3a5c0-c872-4dd4-a84d-f573e4dcc073</vt:lpwstr>
  </property>
</Properties>
</file>